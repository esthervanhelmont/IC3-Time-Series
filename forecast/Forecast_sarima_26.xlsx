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hervanhelmont/Documents/#Python/IC3 Advanced Machine Learning/IC3 Time Series/"/>
    </mc:Choice>
  </mc:AlternateContent>
  <xr:revisionPtr revIDLastSave="0" documentId="13_ncr:1_{E6B2D463-1FA8-154C-9EE3-1F365AA49EBB}" xr6:coauthVersionLast="47" xr6:coauthVersionMax="47" xr10:uidLastSave="{00000000-0000-0000-0000-000000000000}"/>
  <bookViews>
    <workbookView xWindow="1840" yWindow="3560" windowWidth="27340" windowHeight="15760" xr2:uid="{1D8918D8-D52F-4A12-931A-8C262B6DD4D0}"/>
  </bookViews>
  <sheets>
    <sheet name="Blad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2" l="1"/>
  <c r="F58" i="2"/>
  <c r="F56" i="2"/>
  <c r="E58" i="2" l="1"/>
  <c r="E56" i="2"/>
  <c r="D56" i="2" l="1"/>
  <c r="D58" i="2" s="1"/>
  <c r="B58" i="2" l="1"/>
  <c r="C58" i="2"/>
</calcChain>
</file>

<file path=xl/sharedStrings.xml><?xml version="1.0" encoding="utf-8"?>
<sst xmlns="http://schemas.openxmlformats.org/spreadsheetml/2006/main" count="2" uniqueCount="2">
  <si>
    <t>Weeknr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</si>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</sst>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€&quot;\ * #,##0_);_(&quot;€&quot;\ * \(#,##0\);_(&quot;€&quot;\ * &quot;-&quot;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2" fontId="0" fillId="0" borderId="0" xfId="0" applyNumberFormat="1"/>
    <xf numFmtId="42" fontId="2" fillId="0" borderId="0" xfId="0" applyNumberFormat="1" applyFont="1"/>
    <xf numFmtId="42" fontId="1" fillId="0" borderId="0" xfId="0" applyNumberFormat="1" applyFont="1" applyAlignment="1">
      <alignment horizontal="left"/>
    </xf>
    <xf numFmtId="42" fontId="0" fillId="0" borderId="1" xfId="0" applyNumberFormat="1" applyBorder="1" applyAlignment="1">
      <alignment horizontal="center"/>
    </xf>
    <xf numFmtId="42" fontId="0" fillId="0" borderId="1" xfId="0" applyNumberFormat="1" applyBorder="1"/>
    <xf numFmtId="42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42" fontId="0" fillId="2" borderId="1" xfId="0" applyNumberFormat="1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0B56-E8FF-4030-8DC2-ACAE3ACDC33B}">
  <dimension ref="A1:G60"/>
  <sheetViews>
    <sheetView tabSelected="1" zoomScale="99" workbookViewId="0">
      <selection activeCell="J56" sqref="J56"/>
    </sheetView>
  </sheetViews>
  <sheetFormatPr baseColWidth="10" defaultColWidth="8.83203125" defaultRowHeight="15" x14ac:dyDescent="0.2"/>
  <cols>
    <col min="1" max="1" width="11" style="6" customWidth="1"/>
    <col min="2" max="6" width="13.83203125" style="1" bestFit="1" customWidth="1"/>
    <col min="7" max="7" width="13.83203125" style="1" customWidth="1"/>
  </cols>
  <sheetData>
    <row r="1" spans="1:7" ht="19" x14ac:dyDescent="0.25">
      <c r="A1" s="2"/>
    </row>
    <row r="2" spans="1:7" x14ac:dyDescent="0.2">
      <c r="A2" s="3"/>
    </row>
    <row r="3" spans="1:7" x14ac:dyDescent="0.2">
      <c r="A3" s="4" t="s">
        <v>0</v>
      </c>
      <c r="B3" s="7">
        <v>2025</v>
      </c>
      <c r="C3" s="7">
        <v>2024</v>
      </c>
      <c r="D3" s="7">
        <v>2023</v>
      </c>
      <c r="E3" s="7">
        <v>2022</v>
      </c>
      <c r="F3" s="7">
        <v>2021</v>
      </c>
      <c r="G3" s="8">
        <v>2026</v>
      </c>
    </row>
    <row r="5" spans="1:7" x14ac:dyDescent="0.2">
      <c r="A5" s="4">
        <v>1</v>
      </c>
      <c r="B5" s="5">
        <v>12783.09</v>
      </c>
      <c r="C5" s="5">
        <v>19408.379999999997</v>
      </c>
      <c r="D5" s="5">
        <v>12919.45</v>
      </c>
      <c r="E5" s="5">
        <v>30931.67</v>
      </c>
      <c r="F5" s="5">
        <v>10702</v>
      </c>
      <c r="G5" s="9">
        <v>35009.03</v>
      </c>
    </row>
    <row r="6" spans="1:7" x14ac:dyDescent="0.2">
      <c r="A6" s="4">
        <v>2</v>
      </c>
      <c r="B6" s="5">
        <v>24353.27</v>
      </c>
      <c r="C6" s="5">
        <v>30556.13</v>
      </c>
      <c r="D6" s="5">
        <v>37286.35</v>
      </c>
      <c r="E6" s="5">
        <v>20468.97</v>
      </c>
      <c r="F6" s="5">
        <v>8580</v>
      </c>
      <c r="G6" s="9">
        <v>52223.7</v>
      </c>
    </row>
    <row r="7" spans="1:7" x14ac:dyDescent="0.2">
      <c r="A7" s="4">
        <v>3</v>
      </c>
      <c r="B7" s="5">
        <v>36300.71</v>
      </c>
      <c r="C7" s="5">
        <v>48737.02</v>
      </c>
      <c r="D7" s="5">
        <v>43375.649999999994</v>
      </c>
      <c r="E7" s="5">
        <v>25861.879999999997</v>
      </c>
      <c r="F7" s="5">
        <v>13739.9</v>
      </c>
      <c r="G7" s="9">
        <v>34403.93</v>
      </c>
    </row>
    <row r="8" spans="1:7" x14ac:dyDescent="0.2">
      <c r="A8" s="4">
        <v>4</v>
      </c>
      <c r="B8" s="5">
        <v>41774.770000000004</v>
      </c>
      <c r="C8" s="5">
        <v>30405.98</v>
      </c>
      <c r="D8" s="5">
        <v>34539.550000000003</v>
      </c>
      <c r="E8" s="5">
        <v>54979.55</v>
      </c>
      <c r="F8" s="5">
        <v>21098</v>
      </c>
      <c r="G8" s="9">
        <v>39944.43</v>
      </c>
    </row>
    <row r="9" spans="1:7" x14ac:dyDescent="0.2">
      <c r="A9" s="4">
        <v>5</v>
      </c>
      <c r="B9" s="5">
        <v>45480.7</v>
      </c>
      <c r="C9" s="5">
        <v>34827.33</v>
      </c>
      <c r="D9" s="5">
        <v>42172.43</v>
      </c>
      <c r="E9" s="5">
        <v>66392.75</v>
      </c>
      <c r="F9" s="5">
        <v>16012</v>
      </c>
      <c r="G9" s="9">
        <v>52734.94</v>
      </c>
    </row>
    <row r="10" spans="1:7" x14ac:dyDescent="0.2">
      <c r="A10" s="4">
        <v>6</v>
      </c>
      <c r="B10" s="5">
        <v>28966.43</v>
      </c>
      <c r="C10" s="5">
        <v>46180.429999999993</v>
      </c>
      <c r="D10" s="5">
        <v>55172.47</v>
      </c>
      <c r="E10" s="5">
        <v>47794.58</v>
      </c>
      <c r="F10" s="5">
        <v>32845.360000000001</v>
      </c>
      <c r="G10" s="9">
        <v>36198.620000000003</v>
      </c>
    </row>
    <row r="11" spans="1:7" x14ac:dyDescent="0.2">
      <c r="A11" s="4">
        <v>7</v>
      </c>
      <c r="B11" s="5">
        <v>67108.260000000009</v>
      </c>
      <c r="C11" s="5">
        <v>32056.57</v>
      </c>
      <c r="D11" s="5">
        <v>35945.520000000004</v>
      </c>
      <c r="E11" s="5">
        <v>76549.22</v>
      </c>
      <c r="F11" s="5">
        <v>29331.760000000002</v>
      </c>
      <c r="G11" s="9">
        <v>42237.67</v>
      </c>
    </row>
    <row r="12" spans="1:7" x14ac:dyDescent="0.2">
      <c r="A12" s="4">
        <v>8</v>
      </c>
      <c r="B12" s="5">
        <v>39017.54</v>
      </c>
      <c r="C12" s="5">
        <v>36049.410000000003</v>
      </c>
      <c r="D12" s="5">
        <v>48585.649999999994</v>
      </c>
      <c r="E12" s="5">
        <v>42857</v>
      </c>
      <c r="F12" s="5">
        <v>33562.379999999997</v>
      </c>
      <c r="G12" s="9">
        <v>62950.25</v>
      </c>
    </row>
    <row r="13" spans="1:7" x14ac:dyDescent="0.2">
      <c r="A13" s="4">
        <v>9</v>
      </c>
      <c r="B13" s="5">
        <v>58487.140000000007</v>
      </c>
      <c r="C13" s="5">
        <v>56728.600000000006</v>
      </c>
      <c r="D13" s="5">
        <v>59306.539999999994</v>
      </c>
      <c r="E13" s="5">
        <v>46207.09</v>
      </c>
      <c r="F13" s="5">
        <v>58822.32</v>
      </c>
      <c r="G13" s="9">
        <v>49363.06</v>
      </c>
    </row>
    <row r="14" spans="1:7" x14ac:dyDescent="0.2">
      <c r="A14" s="4">
        <v>10</v>
      </c>
      <c r="B14" s="5">
        <v>28568.109999999993</v>
      </c>
      <c r="C14" s="5">
        <v>46141.59</v>
      </c>
      <c r="D14" s="5">
        <v>40570.18</v>
      </c>
      <c r="E14" s="5">
        <v>35121.11</v>
      </c>
      <c r="F14" s="5">
        <v>33990.910000000003</v>
      </c>
      <c r="G14" s="9">
        <v>47668.67</v>
      </c>
    </row>
    <row r="15" spans="1:7" x14ac:dyDescent="0.2">
      <c r="A15" s="4">
        <v>11</v>
      </c>
      <c r="B15" s="5">
        <v>45662.460000000006</v>
      </c>
      <c r="C15" s="5">
        <v>48492.520000000004</v>
      </c>
      <c r="D15" s="5">
        <v>28561.31</v>
      </c>
      <c r="E15" s="5">
        <v>31808.31</v>
      </c>
      <c r="F15" s="5">
        <v>26440.95</v>
      </c>
      <c r="G15" s="9">
        <v>52827.47</v>
      </c>
    </row>
    <row r="16" spans="1:7" x14ac:dyDescent="0.2">
      <c r="A16" s="4">
        <v>12</v>
      </c>
      <c r="B16" s="5">
        <v>41738.009999999995</v>
      </c>
      <c r="C16" s="5">
        <v>48675.8</v>
      </c>
      <c r="D16" s="5">
        <v>45543.97</v>
      </c>
      <c r="E16" s="5">
        <v>61589.950000000004</v>
      </c>
      <c r="F16" s="5">
        <v>38101.980000000003</v>
      </c>
      <c r="G16" s="9">
        <v>70744.649999999994</v>
      </c>
    </row>
    <row r="17" spans="1:7" x14ac:dyDescent="0.2">
      <c r="A17" s="4">
        <v>13</v>
      </c>
      <c r="B17" s="5">
        <v>54413.960000000021</v>
      </c>
      <c r="C17" s="5">
        <v>65546.06</v>
      </c>
      <c r="D17" s="5">
        <v>60235.83</v>
      </c>
      <c r="E17" s="5">
        <v>42087.880000000005</v>
      </c>
      <c r="F17" s="5">
        <v>21542.35</v>
      </c>
      <c r="G17" s="9">
        <v>56013.88</v>
      </c>
    </row>
    <row r="18" spans="1:7" x14ac:dyDescent="0.2">
      <c r="A18" s="4">
        <v>14</v>
      </c>
      <c r="B18" s="5">
        <v>61836.720000000023</v>
      </c>
      <c r="C18" s="5">
        <v>53557.479999999996</v>
      </c>
      <c r="D18" s="5">
        <v>42281.429999999993</v>
      </c>
      <c r="E18" s="5">
        <v>41169.68</v>
      </c>
      <c r="F18" s="5">
        <v>19935.150000000001</v>
      </c>
      <c r="G18" s="9">
        <v>43899.42</v>
      </c>
    </row>
    <row r="19" spans="1:7" x14ac:dyDescent="0.2">
      <c r="A19" s="4">
        <v>15</v>
      </c>
      <c r="B19" s="5">
        <v>58033.229999999996</v>
      </c>
      <c r="C19" s="5">
        <v>40616.9</v>
      </c>
      <c r="D19" s="5">
        <v>37397.770000000004</v>
      </c>
      <c r="E19" s="5">
        <v>38113.979999999996</v>
      </c>
      <c r="F19" s="5">
        <v>35097.550000000003</v>
      </c>
      <c r="G19" s="9">
        <v>48677.29</v>
      </c>
    </row>
    <row r="20" spans="1:7" x14ac:dyDescent="0.2">
      <c r="A20" s="4">
        <v>16</v>
      </c>
      <c r="B20" s="5">
        <v>50398.080000000002</v>
      </c>
      <c r="C20" s="5">
        <v>40298.86</v>
      </c>
      <c r="D20" s="5">
        <v>62998.599999999991</v>
      </c>
      <c r="E20" s="5">
        <v>36163.11</v>
      </c>
      <c r="F20" s="5">
        <v>27519.370000000003</v>
      </c>
      <c r="G20" s="9">
        <v>47433.02</v>
      </c>
    </row>
    <row r="21" spans="1:7" x14ac:dyDescent="0.2">
      <c r="A21" s="4">
        <v>17</v>
      </c>
      <c r="B21" s="5">
        <v>36070.589999999997</v>
      </c>
      <c r="C21" s="5">
        <v>42248.630000000005</v>
      </c>
      <c r="D21" s="5">
        <v>46289.83</v>
      </c>
      <c r="E21" s="5">
        <v>71132.13</v>
      </c>
      <c r="F21" s="5">
        <v>20717.93</v>
      </c>
      <c r="G21" s="9">
        <v>71373.48</v>
      </c>
    </row>
    <row r="22" spans="1:7" x14ac:dyDescent="0.2">
      <c r="A22" s="4">
        <v>18</v>
      </c>
      <c r="B22" s="5">
        <v>42224.390000000014</v>
      </c>
      <c r="C22" s="5">
        <v>77129.8</v>
      </c>
      <c r="D22" s="5">
        <v>34135.72</v>
      </c>
      <c r="E22" s="5">
        <v>44119.600000000006</v>
      </c>
      <c r="F22" s="5">
        <v>46475.4</v>
      </c>
      <c r="G22" s="9">
        <v>47748.07</v>
      </c>
    </row>
    <row r="23" spans="1:7" x14ac:dyDescent="0.2">
      <c r="A23" s="4">
        <v>19</v>
      </c>
      <c r="B23" s="5">
        <v>33867.900000000009</v>
      </c>
      <c r="C23" s="5">
        <v>44609.59</v>
      </c>
      <c r="D23" s="5">
        <v>39124.58</v>
      </c>
      <c r="E23" s="5">
        <v>51079.14</v>
      </c>
      <c r="F23" s="5">
        <v>29101.759999999998</v>
      </c>
      <c r="G23" s="9">
        <v>94060.93</v>
      </c>
    </row>
    <row r="24" spans="1:7" x14ac:dyDescent="0.2">
      <c r="A24" s="4">
        <v>20</v>
      </c>
      <c r="B24" s="5">
        <v>43332.989999999991</v>
      </c>
      <c r="C24" s="5">
        <v>104175.54999999999</v>
      </c>
      <c r="D24" s="5">
        <v>41261.839999999997</v>
      </c>
      <c r="E24" s="5">
        <v>37006.06</v>
      </c>
      <c r="F24" s="5">
        <v>23879.22</v>
      </c>
      <c r="G24" s="9">
        <v>30425.33</v>
      </c>
    </row>
    <row r="25" spans="1:7" x14ac:dyDescent="0.2">
      <c r="A25" s="4">
        <v>21</v>
      </c>
      <c r="B25" s="5">
        <v>20563.080000000002</v>
      </c>
      <c r="C25" s="5">
        <v>30136.99</v>
      </c>
      <c r="D25" s="5">
        <v>19918.78</v>
      </c>
      <c r="E25" s="5">
        <v>51222.61</v>
      </c>
      <c r="F25" s="5">
        <v>23175.215</v>
      </c>
      <c r="G25" s="9">
        <v>41057.160000000003</v>
      </c>
    </row>
    <row r="26" spans="1:7" x14ac:dyDescent="0.2">
      <c r="A26" s="4">
        <v>22</v>
      </c>
      <c r="B26" s="5">
        <v>32754.950000000004</v>
      </c>
      <c r="C26" s="5">
        <v>37615.800000000003</v>
      </c>
      <c r="D26" s="5">
        <v>36176.990000000005</v>
      </c>
      <c r="E26" s="5">
        <v>45501.520000000004</v>
      </c>
      <c r="F26" s="5">
        <v>63887.31</v>
      </c>
      <c r="G26" s="9">
        <v>61038.41</v>
      </c>
    </row>
    <row r="27" spans="1:7" x14ac:dyDescent="0.2">
      <c r="A27" s="4">
        <v>23</v>
      </c>
      <c r="B27" s="5">
        <v>43835.57</v>
      </c>
      <c r="C27" s="5">
        <v>53526.229999999996</v>
      </c>
      <c r="D27" s="5">
        <v>63881.13</v>
      </c>
      <c r="E27" s="5">
        <v>35088.629999999997</v>
      </c>
      <c r="F27" s="5">
        <v>26006</v>
      </c>
      <c r="G27" s="9">
        <v>51028.09</v>
      </c>
    </row>
    <row r="28" spans="1:7" x14ac:dyDescent="0.2">
      <c r="A28" s="4">
        <v>24</v>
      </c>
      <c r="B28" s="5">
        <v>46419.78</v>
      </c>
      <c r="C28" s="5">
        <v>49076.979999999996</v>
      </c>
      <c r="D28" s="5">
        <v>37654.43</v>
      </c>
      <c r="E28" s="5">
        <v>39619.279999999999</v>
      </c>
      <c r="F28" s="5">
        <v>31799.08</v>
      </c>
      <c r="G28" s="9">
        <v>45923.18</v>
      </c>
    </row>
    <row r="29" spans="1:7" x14ac:dyDescent="0.2">
      <c r="A29" s="4">
        <v>25</v>
      </c>
      <c r="B29" s="5">
        <v>28421.77</v>
      </c>
      <c r="C29" s="5">
        <v>42746.14</v>
      </c>
      <c r="D29" s="5">
        <v>38063.379999999997</v>
      </c>
      <c r="E29" s="5">
        <v>59963.570000000007</v>
      </c>
      <c r="F29" s="5">
        <v>25188.14</v>
      </c>
      <c r="G29" s="9">
        <v>55068.47</v>
      </c>
    </row>
    <row r="30" spans="1:7" x14ac:dyDescent="0.2">
      <c r="A30" s="4">
        <v>26</v>
      </c>
      <c r="B30" s="5">
        <v>53356.43</v>
      </c>
      <c r="C30" s="5">
        <v>53225.5</v>
      </c>
      <c r="D30" s="5">
        <v>39828.370000000003</v>
      </c>
      <c r="E30" s="5">
        <v>48680.75</v>
      </c>
      <c r="F30" s="5">
        <v>31310.129999999997</v>
      </c>
      <c r="G30" s="9">
        <v>39929.32</v>
      </c>
    </row>
    <row r="31" spans="1:7" x14ac:dyDescent="0.2">
      <c r="A31" s="4">
        <v>27</v>
      </c>
      <c r="B31" s="5">
        <v>47532.509999999995</v>
      </c>
      <c r="C31" s="5">
        <v>38440.46</v>
      </c>
      <c r="D31" s="5">
        <v>29174.579999999998</v>
      </c>
      <c r="E31" s="5">
        <v>51516.729999999996</v>
      </c>
      <c r="F31" s="5">
        <v>41453.32</v>
      </c>
      <c r="G31" s="9">
        <v>33406.39</v>
      </c>
    </row>
    <row r="32" spans="1:7" x14ac:dyDescent="0.2">
      <c r="A32" s="4">
        <v>28</v>
      </c>
      <c r="B32" s="5">
        <v>54896.43</v>
      </c>
      <c r="C32" s="5">
        <v>30233.11</v>
      </c>
      <c r="D32" s="5">
        <v>30644.38</v>
      </c>
      <c r="E32" s="5">
        <v>59766.95</v>
      </c>
      <c r="F32" s="5">
        <v>29049.41</v>
      </c>
      <c r="G32" s="9">
        <v>53741.77</v>
      </c>
    </row>
    <row r="33" spans="1:7" x14ac:dyDescent="0.2">
      <c r="A33" s="4">
        <v>29</v>
      </c>
      <c r="B33" s="5">
        <v>97206.209999999992</v>
      </c>
      <c r="C33" s="5">
        <v>50228.75</v>
      </c>
      <c r="D33" s="5">
        <v>44011.070000000007</v>
      </c>
      <c r="E33" s="5">
        <v>52806.86</v>
      </c>
      <c r="F33" s="5">
        <v>87701.440000000002</v>
      </c>
      <c r="G33" s="9">
        <v>38780.370000000003</v>
      </c>
    </row>
    <row r="34" spans="1:7" x14ac:dyDescent="0.2">
      <c r="A34" s="4">
        <v>30</v>
      </c>
      <c r="B34" s="5">
        <v>20816.940000000002</v>
      </c>
      <c r="C34" s="5">
        <v>33586.11</v>
      </c>
      <c r="D34" s="5">
        <v>42253.91</v>
      </c>
      <c r="E34" s="5">
        <v>37729.51</v>
      </c>
      <c r="F34" s="5">
        <v>29732.030000000002</v>
      </c>
      <c r="G34" s="9">
        <v>26338.19</v>
      </c>
    </row>
    <row r="35" spans="1:7" x14ac:dyDescent="0.2">
      <c r="A35" s="4">
        <v>31</v>
      </c>
      <c r="B35" s="5">
        <v>34824.75</v>
      </c>
      <c r="C35" s="5">
        <v>21279.43</v>
      </c>
      <c r="D35" s="5">
        <v>36941.990000000005</v>
      </c>
      <c r="E35" s="5">
        <v>47744.100000000006</v>
      </c>
      <c r="F35" s="5">
        <v>37713.47</v>
      </c>
      <c r="G35" s="9">
        <v>23359.919999999998</v>
      </c>
    </row>
    <row r="36" spans="1:7" x14ac:dyDescent="0.2">
      <c r="A36" s="4">
        <v>32</v>
      </c>
      <c r="B36" s="5">
        <v>35288.07</v>
      </c>
      <c r="C36" s="5">
        <v>19945.330000000002</v>
      </c>
      <c r="D36" s="5">
        <v>26752.71</v>
      </c>
      <c r="E36" s="5">
        <v>30210.69</v>
      </c>
      <c r="F36" s="5">
        <v>17083.93</v>
      </c>
      <c r="G36" s="9">
        <v>49345.05</v>
      </c>
    </row>
    <row r="37" spans="1:7" x14ac:dyDescent="0.2">
      <c r="A37" s="4">
        <v>33</v>
      </c>
      <c r="B37" s="5">
        <v>47364.07</v>
      </c>
      <c r="C37" s="5">
        <v>55842.600000000006</v>
      </c>
      <c r="D37" s="5">
        <v>20041.36</v>
      </c>
      <c r="E37" s="5">
        <v>14203.53</v>
      </c>
      <c r="F37" s="5">
        <v>17158.030000000002</v>
      </c>
      <c r="G37" s="9">
        <v>26491.23</v>
      </c>
    </row>
    <row r="38" spans="1:7" x14ac:dyDescent="0.2">
      <c r="A38" s="4">
        <v>34</v>
      </c>
      <c r="B38" s="5">
        <v>36652.240000000005</v>
      </c>
      <c r="C38" s="5">
        <v>27244.320000000003</v>
      </c>
      <c r="D38" s="5">
        <v>15200.98</v>
      </c>
      <c r="E38" s="5">
        <v>21600.31</v>
      </c>
      <c r="F38" s="5">
        <v>15302.720000000001</v>
      </c>
      <c r="G38" s="9">
        <v>55779.38</v>
      </c>
    </row>
    <row r="39" spans="1:7" x14ac:dyDescent="0.2">
      <c r="A39" s="4">
        <v>35</v>
      </c>
      <c r="B39" s="5">
        <v>48159.31</v>
      </c>
      <c r="C39" s="5">
        <v>50353.73</v>
      </c>
      <c r="D39" s="5">
        <v>52402.069999999992</v>
      </c>
      <c r="E39" s="5">
        <v>30920.99</v>
      </c>
      <c r="F39" s="5">
        <v>7228.58</v>
      </c>
      <c r="G39" s="9">
        <v>49694.79</v>
      </c>
    </row>
    <row r="40" spans="1:7" x14ac:dyDescent="0.2">
      <c r="A40" s="4">
        <v>36</v>
      </c>
      <c r="B40" s="5">
        <v>42575.54</v>
      </c>
      <c r="C40" s="5">
        <v>41582.58</v>
      </c>
      <c r="D40" s="5">
        <v>61974.930000000008</v>
      </c>
      <c r="E40" s="5">
        <v>29091.38</v>
      </c>
      <c r="F40" s="5">
        <v>25920.59</v>
      </c>
      <c r="G40" s="9">
        <v>38829.75</v>
      </c>
    </row>
    <row r="41" spans="1:7" x14ac:dyDescent="0.2">
      <c r="A41" s="4">
        <v>37</v>
      </c>
      <c r="B41" s="5">
        <v>36710.89</v>
      </c>
      <c r="C41" s="5">
        <v>35390.28</v>
      </c>
      <c r="D41" s="5">
        <v>34998.740000000005</v>
      </c>
      <c r="E41" s="5">
        <v>33543.279999999999</v>
      </c>
      <c r="F41" s="5">
        <v>19031.77</v>
      </c>
      <c r="G41" s="9">
        <v>38005.440000000002</v>
      </c>
    </row>
    <row r="42" spans="1:7" x14ac:dyDescent="0.2">
      <c r="A42" s="4">
        <v>38</v>
      </c>
      <c r="B42" s="5">
        <v>20748.640000000007</v>
      </c>
      <c r="C42" s="5">
        <v>37791.660000000003</v>
      </c>
      <c r="D42" s="5">
        <v>24705.87</v>
      </c>
      <c r="E42" s="5">
        <v>34562.729999999996</v>
      </c>
      <c r="F42" s="5">
        <v>23274.25</v>
      </c>
      <c r="G42" s="9">
        <v>46031.96</v>
      </c>
    </row>
    <row r="43" spans="1:7" x14ac:dyDescent="0.2">
      <c r="A43" s="4">
        <v>39</v>
      </c>
      <c r="B43" s="5">
        <v>38614.089999999997</v>
      </c>
      <c r="C43" s="5">
        <v>39234.160000000003</v>
      </c>
      <c r="D43" s="5">
        <v>53250.96</v>
      </c>
      <c r="E43" s="5">
        <v>44744.1</v>
      </c>
      <c r="F43" s="5">
        <v>29305.200000000001</v>
      </c>
      <c r="G43" s="9">
        <v>61603.28</v>
      </c>
    </row>
    <row r="44" spans="1:7" x14ac:dyDescent="0.2">
      <c r="A44" s="4">
        <v>40</v>
      </c>
      <c r="B44" s="5">
        <v>88982.56</v>
      </c>
      <c r="C44" s="5">
        <v>62171.790000000008</v>
      </c>
      <c r="D44" s="5">
        <v>37829.14</v>
      </c>
      <c r="E44" s="5">
        <v>63055.68</v>
      </c>
      <c r="F44" s="5">
        <v>40338.160000000003</v>
      </c>
      <c r="G44" s="9">
        <v>74637.37</v>
      </c>
    </row>
    <row r="45" spans="1:7" x14ac:dyDescent="0.2">
      <c r="A45" s="4">
        <v>41</v>
      </c>
      <c r="B45" s="5">
        <v>28250</v>
      </c>
      <c r="C45" s="5">
        <v>79436.58</v>
      </c>
      <c r="D45" s="5">
        <v>37804.22</v>
      </c>
      <c r="E45" s="5">
        <v>45236.740000000005</v>
      </c>
      <c r="F45" s="5">
        <v>36966.92</v>
      </c>
      <c r="G45" s="9">
        <v>43530.85</v>
      </c>
    </row>
    <row r="46" spans="1:7" x14ac:dyDescent="0.2">
      <c r="A46" s="4">
        <v>42</v>
      </c>
      <c r="B46" s="5">
        <v>68840.899999999994</v>
      </c>
      <c r="C46" s="5">
        <v>37012.960000000006</v>
      </c>
      <c r="D46" s="5">
        <v>50789.57</v>
      </c>
      <c r="E46" s="5">
        <v>43830.36</v>
      </c>
      <c r="F46" s="5">
        <v>46063.479999999996</v>
      </c>
      <c r="G46" s="9">
        <v>46042.54</v>
      </c>
    </row>
    <row r="47" spans="1:7" x14ac:dyDescent="0.2">
      <c r="A47" s="4">
        <v>43</v>
      </c>
      <c r="B47" s="9">
        <v>40778.75</v>
      </c>
      <c r="C47" s="5">
        <v>45214.07</v>
      </c>
      <c r="D47" s="5">
        <v>38427.03</v>
      </c>
      <c r="E47" s="5">
        <v>51056.33</v>
      </c>
      <c r="F47" s="5">
        <v>38329.46</v>
      </c>
      <c r="G47" s="9">
        <v>42436.84</v>
      </c>
    </row>
    <row r="48" spans="1:7" x14ac:dyDescent="0.2">
      <c r="A48" s="4">
        <v>44</v>
      </c>
      <c r="B48" s="9">
        <v>41711.82</v>
      </c>
      <c r="C48" s="5">
        <v>43329.270000000004</v>
      </c>
      <c r="D48" s="5">
        <v>64173.430000000008</v>
      </c>
      <c r="E48" s="5">
        <v>31610.79</v>
      </c>
      <c r="F48" s="5">
        <v>49372.26</v>
      </c>
      <c r="G48" s="9">
        <v>43913.36</v>
      </c>
    </row>
    <row r="49" spans="1:7" x14ac:dyDescent="0.2">
      <c r="A49" s="4">
        <v>45</v>
      </c>
      <c r="B49" s="9">
        <v>49244.5</v>
      </c>
      <c r="C49" s="5">
        <v>52697.95</v>
      </c>
      <c r="D49" s="5">
        <v>35555.699999999997</v>
      </c>
      <c r="E49" s="5">
        <v>48153.619999999995</v>
      </c>
      <c r="F49" s="5">
        <v>46339.07</v>
      </c>
      <c r="G49" s="9">
        <v>51404.71</v>
      </c>
    </row>
    <row r="50" spans="1:7" x14ac:dyDescent="0.2">
      <c r="A50" s="4">
        <v>46</v>
      </c>
      <c r="B50" s="9">
        <v>44659.7</v>
      </c>
      <c r="C50" s="5">
        <v>47715.53</v>
      </c>
      <c r="D50" s="5">
        <v>45210.51</v>
      </c>
      <c r="E50" s="5">
        <v>43305</v>
      </c>
      <c r="F50" s="5">
        <v>33866.659999999996</v>
      </c>
      <c r="G50" s="9">
        <v>46829.25</v>
      </c>
    </row>
    <row r="51" spans="1:7" x14ac:dyDescent="0.2">
      <c r="A51" s="4">
        <v>47</v>
      </c>
      <c r="B51" s="9">
        <v>55644.17</v>
      </c>
      <c r="C51" s="5">
        <v>33944.259999999995</v>
      </c>
      <c r="D51" s="5">
        <v>39420.429999999993</v>
      </c>
      <c r="E51" s="5">
        <v>45339.18</v>
      </c>
      <c r="F51" s="5">
        <v>41504.67</v>
      </c>
      <c r="G51" s="9">
        <v>57718.6</v>
      </c>
    </row>
    <row r="52" spans="1:7" x14ac:dyDescent="0.2">
      <c r="A52" s="4">
        <v>48</v>
      </c>
      <c r="B52" s="9">
        <v>52278.559999999998</v>
      </c>
      <c r="C52" s="5">
        <v>37576.9</v>
      </c>
      <c r="D52" s="5">
        <v>53988.22</v>
      </c>
      <c r="E52" s="5">
        <v>39617.120000000003</v>
      </c>
      <c r="F52" s="5">
        <v>55702.71</v>
      </c>
      <c r="G52" s="9">
        <v>54727.58</v>
      </c>
    </row>
    <row r="53" spans="1:7" x14ac:dyDescent="0.2">
      <c r="A53" s="4">
        <v>49</v>
      </c>
      <c r="B53" s="9">
        <v>44193.41</v>
      </c>
      <c r="C53" s="5">
        <v>50961.73</v>
      </c>
      <c r="D53" s="5">
        <v>46816.92</v>
      </c>
      <c r="E53" s="5">
        <v>50319.39</v>
      </c>
      <c r="F53" s="5">
        <v>45507.130000000005</v>
      </c>
      <c r="G53" s="9">
        <v>45826.58</v>
      </c>
    </row>
    <row r="54" spans="1:7" x14ac:dyDescent="0.2">
      <c r="A54" s="4">
        <v>50</v>
      </c>
      <c r="B54" s="9">
        <v>54312.75</v>
      </c>
      <c r="C54" s="5">
        <v>63317.79</v>
      </c>
      <c r="D54" s="5">
        <v>42995.79</v>
      </c>
      <c r="E54" s="5">
        <v>31145.5</v>
      </c>
      <c r="F54" s="5">
        <v>44016.5</v>
      </c>
      <c r="G54" s="9">
        <v>57220.38</v>
      </c>
    </row>
    <row r="55" spans="1:7" x14ac:dyDescent="0.2">
      <c r="A55" s="4">
        <v>51</v>
      </c>
      <c r="B55" s="9">
        <v>33231.15</v>
      </c>
      <c r="C55" s="5">
        <v>88631.37</v>
      </c>
      <c r="D55" s="5">
        <v>46007.840000000004</v>
      </c>
      <c r="E55" s="5">
        <v>64593.19</v>
      </c>
      <c r="F55" s="5">
        <v>35217.01</v>
      </c>
      <c r="G55" s="9">
        <v>34863.56</v>
      </c>
    </row>
    <row r="56" spans="1:7" x14ac:dyDescent="0.2">
      <c r="A56" s="4">
        <v>52</v>
      </c>
      <c r="B56" s="9">
        <v>19620.07</v>
      </c>
      <c r="C56" s="5">
        <v>6987.03</v>
      </c>
      <c r="D56" s="5">
        <f>23672.17+5545.41-17.23</f>
        <v>29200.35</v>
      </c>
      <c r="E56" s="5">
        <f>25003.14+9314.58-64.39</f>
        <v>34253.33</v>
      </c>
      <c r="F56" s="5">
        <f>27497.09+7644.61+533.39</f>
        <v>35675.089999999997</v>
      </c>
      <c r="G56" s="9">
        <v>20306.439999999999</v>
      </c>
    </row>
    <row r="58" spans="1:7" x14ac:dyDescent="0.2">
      <c r="A58" s="4" t="s">
        <v>1</v>
      </c>
      <c r="B58" s="5">
        <f>SUM(B5:B57)</f>
        <v>2258907.9599999995</v>
      </c>
      <c r="C58" s="5">
        <f>SUM(C5:C56)</f>
        <v>2342920.02</v>
      </c>
      <c r="D58" s="5">
        <f>SUM(D5:D56)</f>
        <v>2123800.4499999997</v>
      </c>
      <c r="E58" s="5">
        <f>SUM(E5:E56)</f>
        <v>2261467.41</v>
      </c>
      <c r="F58" s="5">
        <f>SUM(F5:F56)</f>
        <v>1677716.0249999999</v>
      </c>
      <c r="G58" s="5">
        <f>SUM(G5:G56)</f>
        <v>2470848.0500000003</v>
      </c>
    </row>
    <row r="60" spans="1:7" ht="15" customHeight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Blad2</vt:lpstr>
    </vt:vector>
  </TitlesOfParts>
  <Company>Werken in de Kempen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van Padua</dc:creator>
  <cp:lastModifiedBy>Esther van Helmont</cp:lastModifiedBy>
  <dcterms:created xsi:type="dcterms:W3CDTF">2025-10-23T09:12:01Z</dcterms:created>
  <dcterms:modified xsi:type="dcterms:W3CDTF">2025-11-10T18:14:37Z</dcterms:modified>
</cp:coreProperties>
</file>